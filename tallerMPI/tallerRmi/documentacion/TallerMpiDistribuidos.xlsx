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F1CAA29D-1B52-455D-AF06-4C4C53533B3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1" i="1" l="1"/>
  <c r="BC31" i="1"/>
  <c r="BD31" i="1"/>
  <c r="BE31" i="1"/>
  <c r="BF31" i="1"/>
  <c r="BA31" i="1"/>
  <c r="AO32" i="1"/>
  <c r="AN32" i="1"/>
  <c r="AM32" i="1"/>
  <c r="AC32" i="1"/>
  <c r="AB32" i="1"/>
  <c r="P31" i="1"/>
  <c r="D38" i="1"/>
  <c r="D37" i="1"/>
  <c r="D36" i="1"/>
  <c r="C38" i="1"/>
  <c r="C37" i="1"/>
  <c r="O31" i="1"/>
  <c r="N31" i="1"/>
  <c r="C31" i="1"/>
  <c r="C32" i="1" s="1"/>
  <c r="B31" i="1"/>
  <c r="B32" i="1" s="1"/>
  <c r="A31" i="1"/>
  <c r="A32" i="1" s="1"/>
  <c r="C36" i="1" s="1"/>
</calcChain>
</file>

<file path=xl/sharedStrings.xml><?xml version="1.0" encoding="utf-8"?>
<sst xmlns="http://schemas.openxmlformats.org/spreadsheetml/2006/main" count="24" uniqueCount="24">
  <si>
    <t>fxc</t>
  </si>
  <si>
    <t>fxt</t>
  </si>
  <si>
    <t>hilo1</t>
  </si>
  <si>
    <t>hilo2</t>
  </si>
  <si>
    <t>hilo3</t>
  </si>
  <si>
    <t>promedios en segundos</t>
  </si>
  <si>
    <t>prueba 1 y 3</t>
  </si>
  <si>
    <t>prueba2</t>
  </si>
  <si>
    <t>prueba4</t>
  </si>
  <si>
    <t xml:space="preserve">prueba 5 </t>
  </si>
  <si>
    <t>prueba 6</t>
  </si>
  <si>
    <t>E</t>
  </si>
  <si>
    <t>F</t>
  </si>
  <si>
    <t>G</t>
  </si>
  <si>
    <t>H</t>
  </si>
  <si>
    <t xml:space="preserve">tamaño </t>
  </si>
  <si>
    <t>Procesos</t>
  </si>
  <si>
    <t>Tiempo</t>
  </si>
  <si>
    <t>Speedup</t>
  </si>
  <si>
    <t>Eficiencia</t>
  </si>
  <si>
    <t>procesos</t>
  </si>
  <si>
    <t>comparar</t>
  </si>
  <si>
    <t>tiempo</t>
  </si>
  <si>
    <t>secuencial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</si>
</sst>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Sheet1!$A$1:$A$30</c:f>
              <c:numCache>
                <c:formatCode>General</c:formatCode>
                <c:ptCount val="30"/>
                <c:pt idx="0">
                  <c:v>9262649</c:v>
                </c:pt>
                <c:pt idx="1">
                  <c:v>9423696</c:v>
                </c:pt>
                <c:pt idx="2">
                  <c:v>9675486</c:v>
                </c:pt>
                <c:pt idx="3">
                  <c:v>9292407</c:v>
                </c:pt>
                <c:pt idx="4">
                  <c:v>9364996</c:v>
                </c:pt>
                <c:pt idx="5">
                  <c:v>9356863</c:v>
                </c:pt>
                <c:pt idx="6">
                  <c:v>9250964</c:v>
                </c:pt>
                <c:pt idx="7">
                  <c:v>9175740</c:v>
                </c:pt>
                <c:pt idx="8">
                  <c:v>9587834</c:v>
                </c:pt>
                <c:pt idx="9">
                  <c:v>9974244</c:v>
                </c:pt>
                <c:pt idx="10">
                  <c:v>9938464</c:v>
                </c:pt>
                <c:pt idx="11">
                  <c:v>9146756</c:v>
                </c:pt>
                <c:pt idx="12">
                  <c:v>9596873</c:v>
                </c:pt>
                <c:pt idx="13">
                  <c:v>9399034</c:v>
                </c:pt>
                <c:pt idx="14">
                  <c:v>8987912</c:v>
                </c:pt>
                <c:pt idx="15">
                  <c:v>9511115</c:v>
                </c:pt>
                <c:pt idx="16">
                  <c:v>8613352</c:v>
                </c:pt>
                <c:pt idx="17">
                  <c:v>8966033</c:v>
                </c:pt>
                <c:pt idx="18">
                  <c:v>9506950</c:v>
                </c:pt>
                <c:pt idx="19">
                  <c:v>9429456</c:v>
                </c:pt>
                <c:pt idx="20">
                  <c:v>9819807</c:v>
                </c:pt>
                <c:pt idx="21">
                  <c:v>9072266</c:v>
                </c:pt>
                <c:pt idx="22">
                  <c:v>9619207</c:v>
                </c:pt>
                <c:pt idx="23">
                  <c:v>9346489</c:v>
                </c:pt>
                <c:pt idx="24">
                  <c:v>10013592</c:v>
                </c:pt>
                <c:pt idx="25">
                  <c:v>9909762</c:v>
                </c:pt>
                <c:pt idx="26">
                  <c:v>9528121</c:v>
                </c:pt>
                <c:pt idx="27">
                  <c:v>8622972</c:v>
                </c:pt>
                <c:pt idx="28">
                  <c:v>9777411</c:v>
                </c:pt>
                <c:pt idx="29">
                  <c:v>9769825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9-4048-BD81-04F44B32F37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Sheet1!$B$1:$B$30</c:f>
              <c:numCache>
                <c:formatCode>General</c:formatCode>
                <c:ptCount val="30"/>
                <c:pt idx="0">
                  <c:v>9156030</c:v>
                </c:pt>
                <c:pt idx="1">
                  <c:v>9087928</c:v>
                </c:pt>
                <c:pt idx="2">
                  <c:v>8864150</c:v>
                </c:pt>
                <c:pt idx="3">
                  <c:v>8786751</c:v>
                </c:pt>
                <c:pt idx="4">
                  <c:v>8728095</c:v>
                </c:pt>
                <c:pt idx="5">
                  <c:v>8632001</c:v>
                </c:pt>
                <c:pt idx="6">
                  <c:v>9150974</c:v>
                </c:pt>
                <c:pt idx="7">
                  <c:v>8744476</c:v>
                </c:pt>
                <c:pt idx="8">
                  <c:v>8648919</c:v>
                </c:pt>
                <c:pt idx="9">
                  <c:v>8842398</c:v>
                </c:pt>
                <c:pt idx="10">
                  <c:v>9050440</c:v>
                </c:pt>
                <c:pt idx="11">
                  <c:v>9104366</c:v>
                </c:pt>
                <c:pt idx="12">
                  <c:v>9190900</c:v>
                </c:pt>
                <c:pt idx="13">
                  <c:v>8767583</c:v>
                </c:pt>
                <c:pt idx="14">
                  <c:v>8699372</c:v>
                </c:pt>
                <c:pt idx="15">
                  <c:v>8625464</c:v>
                </c:pt>
                <c:pt idx="16">
                  <c:v>8687958</c:v>
                </c:pt>
                <c:pt idx="17">
                  <c:v>8642099</c:v>
                </c:pt>
                <c:pt idx="18">
                  <c:v>9262604</c:v>
                </c:pt>
                <c:pt idx="19">
                  <c:v>9310800</c:v>
                </c:pt>
                <c:pt idx="20">
                  <c:v>8626674</c:v>
                </c:pt>
                <c:pt idx="21">
                  <c:v>8569414</c:v>
                </c:pt>
                <c:pt idx="22">
                  <c:v>8998389</c:v>
                </c:pt>
                <c:pt idx="23">
                  <c:v>8957369</c:v>
                </c:pt>
                <c:pt idx="24">
                  <c:v>9184319</c:v>
                </c:pt>
                <c:pt idx="25">
                  <c:v>8659192</c:v>
                </c:pt>
                <c:pt idx="26">
                  <c:v>9152551</c:v>
                </c:pt>
                <c:pt idx="27">
                  <c:v>8668552</c:v>
                </c:pt>
                <c:pt idx="28">
                  <c:v>8679300</c:v>
                </c:pt>
                <c:pt idx="29">
                  <c:v>8735924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29-4048-BD81-04F44B32F37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Sheet1!$C$1:$C$30</c:f>
              <c:numCache>
                <c:formatCode>General</c:formatCode>
                <c:ptCount val="30"/>
                <c:pt idx="0">
                  <c:v>3009232</c:v>
                </c:pt>
                <c:pt idx="1">
                  <c:v>2867385</c:v>
                </c:pt>
                <c:pt idx="2">
                  <c:v>2987650</c:v>
                </c:pt>
                <c:pt idx="3">
                  <c:v>3009824</c:v>
                </c:pt>
                <c:pt idx="4">
                  <c:v>2922009</c:v>
                </c:pt>
                <c:pt idx="5">
                  <c:v>2939843</c:v>
                </c:pt>
                <c:pt idx="6">
                  <c:v>2791095</c:v>
                </c:pt>
                <c:pt idx="7">
                  <c:v>3100865</c:v>
                </c:pt>
                <c:pt idx="8">
                  <c:v>2924594</c:v>
                </c:pt>
                <c:pt idx="9">
                  <c:v>2955257</c:v>
                </c:pt>
                <c:pt idx="10">
                  <c:v>2892042</c:v>
                </c:pt>
                <c:pt idx="11">
                  <c:v>2961212</c:v>
                </c:pt>
                <c:pt idx="12">
                  <c:v>2913143</c:v>
                </c:pt>
                <c:pt idx="13">
                  <c:v>2901286</c:v>
                </c:pt>
                <c:pt idx="14">
                  <c:v>3026320</c:v>
                </c:pt>
                <c:pt idx="15">
                  <c:v>3016140</c:v>
                </c:pt>
                <c:pt idx="16">
                  <c:v>2950068</c:v>
                </c:pt>
                <c:pt idx="17">
                  <c:v>2867189</c:v>
                </c:pt>
                <c:pt idx="18">
                  <c:v>3102118</c:v>
                </c:pt>
                <c:pt idx="19">
                  <c:v>3114303</c:v>
                </c:pt>
                <c:pt idx="20">
                  <c:v>3046957</c:v>
                </c:pt>
                <c:pt idx="21">
                  <c:v>2947247</c:v>
                </c:pt>
                <c:pt idx="22">
                  <c:v>2926586</c:v>
                </c:pt>
                <c:pt idx="23">
                  <c:v>3316583</c:v>
                </c:pt>
                <c:pt idx="24">
                  <c:v>3029008</c:v>
                </c:pt>
                <c:pt idx="25">
                  <c:v>3035771</c:v>
                </c:pt>
                <c:pt idx="26">
                  <c:v>3219339</c:v>
                </c:pt>
                <c:pt idx="27">
                  <c:v>2901696</c:v>
                </c:pt>
                <c:pt idx="28">
                  <c:v>2906743</c:v>
                </c:pt>
                <c:pt idx="29">
                  <c:v>2978479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29-4048-BD81-04F44B32F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0305928"/>
        <c:axId val="1431873032"/>
      </c:lineChart>
      <c:catAx>
        <c:axId val="1260305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873032"/>
        <c:crosses val="autoZero"/>
        <c:auto val="1"/>
        <c:lblAlgn val="ctr"/>
        <c:lblOffset val="100"/>
        <c:noMultiLvlLbl val="0"/>
      </c:catAx>
      <c:valAx>
        <c:axId val="143187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0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Sheet1!$N$1:$N$30</c:f>
              <c:numCache>
                <c:formatCode>General</c:formatCode>
                <c:ptCount val="30"/>
                <c:pt idx="0">
                  <c:v>411598</c:v>
                </c:pt>
                <c:pt idx="1">
                  <c:v>410992</c:v>
                </c:pt>
                <c:pt idx="2">
                  <c:v>473338</c:v>
                </c:pt>
                <c:pt idx="3">
                  <c:v>352522</c:v>
                </c:pt>
                <c:pt idx="4">
                  <c:v>548811</c:v>
                </c:pt>
                <c:pt idx="5">
                  <c:v>631749</c:v>
                </c:pt>
                <c:pt idx="6">
                  <c:v>400006</c:v>
                </c:pt>
                <c:pt idx="7">
                  <c:v>738232</c:v>
                </c:pt>
                <c:pt idx="8">
                  <c:v>543168</c:v>
                </c:pt>
                <c:pt idx="9">
                  <c:v>682566</c:v>
                </c:pt>
                <c:pt idx="10">
                  <c:v>459614</c:v>
                </c:pt>
                <c:pt idx="11">
                  <c:v>436717</c:v>
                </c:pt>
                <c:pt idx="12">
                  <c:v>593516</c:v>
                </c:pt>
                <c:pt idx="13">
                  <c:v>363681</c:v>
                </c:pt>
                <c:pt idx="14">
                  <c:v>491699</c:v>
                </c:pt>
                <c:pt idx="15">
                  <c:v>436331</c:v>
                </c:pt>
                <c:pt idx="16">
                  <c:v>485997</c:v>
                </c:pt>
                <c:pt idx="17">
                  <c:v>744331</c:v>
                </c:pt>
                <c:pt idx="18">
                  <c:v>521179</c:v>
                </c:pt>
                <c:pt idx="19">
                  <c:v>378504</c:v>
                </c:pt>
                <c:pt idx="20">
                  <c:v>499143</c:v>
                </c:pt>
                <c:pt idx="21">
                  <c:v>423765</c:v>
                </c:pt>
                <c:pt idx="22">
                  <c:v>493779</c:v>
                </c:pt>
                <c:pt idx="23">
                  <c:v>365125</c:v>
                </c:pt>
                <c:pt idx="24">
                  <c:v>411339</c:v>
                </c:pt>
                <c:pt idx="25">
                  <c:v>443270</c:v>
                </c:pt>
                <c:pt idx="26">
                  <c:v>370421</c:v>
                </c:pt>
                <c:pt idx="27">
                  <c:v>417999</c:v>
                </c:pt>
                <c:pt idx="28">
                  <c:v>411639</c:v>
                </c:pt>
                <c:pt idx="29">
                  <c:v>371634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D-409F-933C-D5181BAC5A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Sheet1!$O$1:$O$30</c:f>
              <c:numCache>
                <c:formatCode>General</c:formatCode>
                <c:ptCount val="30"/>
                <c:pt idx="0">
                  <c:v>4792464</c:v>
                </c:pt>
                <c:pt idx="1">
                  <c:v>4716509</c:v>
                </c:pt>
                <c:pt idx="2">
                  <c:v>4079424</c:v>
                </c:pt>
                <c:pt idx="3">
                  <c:v>3838464</c:v>
                </c:pt>
                <c:pt idx="4">
                  <c:v>3001236</c:v>
                </c:pt>
                <c:pt idx="5">
                  <c:v>2961287</c:v>
                </c:pt>
                <c:pt idx="6">
                  <c:v>3017968</c:v>
                </c:pt>
                <c:pt idx="7">
                  <c:v>3209383</c:v>
                </c:pt>
                <c:pt idx="8">
                  <c:v>3084543</c:v>
                </c:pt>
                <c:pt idx="9">
                  <c:v>2859190</c:v>
                </c:pt>
                <c:pt idx="10">
                  <c:v>2866196</c:v>
                </c:pt>
                <c:pt idx="11">
                  <c:v>2813155</c:v>
                </c:pt>
                <c:pt idx="12">
                  <c:v>2893434</c:v>
                </c:pt>
                <c:pt idx="13">
                  <c:v>2935105</c:v>
                </c:pt>
                <c:pt idx="14">
                  <c:v>3058381</c:v>
                </c:pt>
                <c:pt idx="15">
                  <c:v>3090894</c:v>
                </c:pt>
                <c:pt idx="16">
                  <c:v>3009433</c:v>
                </c:pt>
                <c:pt idx="17">
                  <c:v>2854038</c:v>
                </c:pt>
                <c:pt idx="18">
                  <c:v>2895472</c:v>
                </c:pt>
                <c:pt idx="19">
                  <c:v>3071139</c:v>
                </c:pt>
                <c:pt idx="20">
                  <c:v>2940301</c:v>
                </c:pt>
                <c:pt idx="21">
                  <c:v>2939113</c:v>
                </c:pt>
                <c:pt idx="22">
                  <c:v>3002889</c:v>
                </c:pt>
                <c:pt idx="23">
                  <c:v>3136568</c:v>
                </c:pt>
                <c:pt idx="24">
                  <c:v>3078620</c:v>
                </c:pt>
                <c:pt idx="25">
                  <c:v>2975557</c:v>
                </c:pt>
                <c:pt idx="26">
                  <c:v>2978614</c:v>
                </c:pt>
                <c:pt idx="27">
                  <c:v>3014191</c:v>
                </c:pt>
                <c:pt idx="28">
                  <c:v>2881957</c:v>
                </c:pt>
                <c:pt idx="29">
                  <c:v>2994270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D-409F-933C-D5181BAC5A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Sheet1!$P$1:$P$30</c:f>
              <c:numCache>
                <c:formatCode>General</c:formatCode>
                <c:ptCount val="30"/>
                <c:pt idx="0">
                  <c:v>15175706</c:v>
                </c:pt>
                <c:pt idx="1">
                  <c:v>15440745</c:v>
                </c:pt>
                <c:pt idx="2">
                  <c:v>15283547</c:v>
                </c:pt>
                <c:pt idx="3">
                  <c:v>16702499</c:v>
                </c:pt>
                <c:pt idx="4">
                  <c:v>15005946</c:v>
                </c:pt>
                <c:pt idx="5">
                  <c:v>15598865</c:v>
                </c:pt>
                <c:pt idx="6">
                  <c:v>16097517</c:v>
                </c:pt>
                <c:pt idx="7">
                  <c:v>15863624</c:v>
                </c:pt>
                <c:pt idx="8">
                  <c:v>15448898</c:v>
                </c:pt>
                <c:pt idx="9">
                  <c:v>15474519</c:v>
                </c:pt>
                <c:pt idx="10">
                  <c:v>15821873</c:v>
                </c:pt>
                <c:pt idx="11">
                  <c:v>15382432</c:v>
                </c:pt>
                <c:pt idx="12">
                  <c:v>15548324</c:v>
                </c:pt>
                <c:pt idx="13">
                  <c:v>15724097</c:v>
                </c:pt>
                <c:pt idx="14">
                  <c:v>15783540</c:v>
                </c:pt>
                <c:pt idx="15">
                  <c:v>15825278</c:v>
                </c:pt>
                <c:pt idx="16">
                  <c:v>15310166</c:v>
                </c:pt>
                <c:pt idx="17">
                  <c:v>15780069</c:v>
                </c:pt>
                <c:pt idx="18">
                  <c:v>15759861</c:v>
                </c:pt>
                <c:pt idx="19">
                  <c:v>15812865</c:v>
                </c:pt>
                <c:pt idx="20">
                  <c:v>15565435</c:v>
                </c:pt>
                <c:pt idx="21">
                  <c:v>15646474</c:v>
                </c:pt>
                <c:pt idx="22">
                  <c:v>15652841</c:v>
                </c:pt>
                <c:pt idx="23">
                  <c:v>15600244</c:v>
                </c:pt>
                <c:pt idx="24">
                  <c:v>15641619</c:v>
                </c:pt>
                <c:pt idx="25">
                  <c:v>16211228</c:v>
                </c:pt>
                <c:pt idx="26">
                  <c:v>16408616</c:v>
                </c:pt>
                <c:pt idx="27">
                  <c:v>16357492</c:v>
                </c:pt>
                <c:pt idx="28">
                  <c:v>15512128</c:v>
                </c:pt>
                <c:pt idx="29">
                  <c:v>15611676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DD-409F-933C-D5181BAC5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922632"/>
        <c:axId val="1536924680"/>
      </c:lineChart>
      <c:catAx>
        <c:axId val="1536922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924680"/>
        <c:crosses val="autoZero"/>
        <c:auto val="1"/>
        <c:lblAlgn val="ctr"/>
        <c:lblOffset val="100"/>
        <c:noMultiLvlLbl val="0"/>
      </c:catAx>
      <c:valAx>
        <c:axId val="153692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92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Sheet1!$AB$2:$AB$31</c:f>
              <c:numCache>
                <c:formatCode>General</c:formatCode>
                <c:ptCount val="30"/>
                <c:pt idx="0">
                  <c:v>2989073</c:v>
                </c:pt>
                <c:pt idx="1">
                  <c:v>2877692</c:v>
                </c:pt>
                <c:pt idx="2">
                  <c:v>2820482</c:v>
                </c:pt>
                <c:pt idx="3">
                  <c:v>2946934</c:v>
                </c:pt>
                <c:pt idx="4">
                  <c:v>2967775</c:v>
                </c:pt>
                <c:pt idx="5">
                  <c:v>2891472</c:v>
                </c:pt>
                <c:pt idx="6">
                  <c:v>2841002</c:v>
                </c:pt>
                <c:pt idx="7">
                  <c:v>3030707</c:v>
                </c:pt>
                <c:pt idx="8">
                  <c:v>2898465</c:v>
                </c:pt>
                <c:pt idx="9">
                  <c:v>2957758</c:v>
                </c:pt>
                <c:pt idx="10">
                  <c:v>2802609</c:v>
                </c:pt>
                <c:pt idx="11">
                  <c:v>2884535</c:v>
                </c:pt>
                <c:pt idx="12">
                  <c:v>2916146</c:v>
                </c:pt>
                <c:pt idx="13">
                  <c:v>3072602</c:v>
                </c:pt>
                <c:pt idx="14">
                  <c:v>3015507</c:v>
                </c:pt>
                <c:pt idx="15">
                  <c:v>2893169</c:v>
                </c:pt>
                <c:pt idx="16">
                  <c:v>2809277</c:v>
                </c:pt>
                <c:pt idx="17">
                  <c:v>2990508</c:v>
                </c:pt>
                <c:pt idx="18">
                  <c:v>2914972</c:v>
                </c:pt>
                <c:pt idx="19">
                  <c:v>2866929</c:v>
                </c:pt>
                <c:pt idx="20">
                  <c:v>3007597</c:v>
                </c:pt>
                <c:pt idx="21">
                  <c:v>3297440</c:v>
                </c:pt>
                <c:pt idx="22">
                  <c:v>2852126</c:v>
                </c:pt>
                <c:pt idx="23">
                  <c:v>3096168</c:v>
                </c:pt>
                <c:pt idx="24">
                  <c:v>2982856</c:v>
                </c:pt>
                <c:pt idx="25">
                  <c:v>2998162</c:v>
                </c:pt>
                <c:pt idx="26">
                  <c:v>3143194</c:v>
                </c:pt>
                <c:pt idx="27">
                  <c:v>2797962</c:v>
                </c:pt>
                <c:pt idx="28">
                  <c:v>2745181</c:v>
                </c:pt>
                <c:pt idx="29">
                  <c:v>2857291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4F-4E93-A131-C538794879E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Sheet1!$AC$2:$AC$31</c:f>
              <c:numCache>
                <c:formatCode>General</c:formatCode>
                <c:ptCount val="30"/>
                <c:pt idx="0">
                  <c:v>1702546</c:v>
                </c:pt>
                <c:pt idx="1">
                  <c:v>1695965</c:v>
                </c:pt>
                <c:pt idx="2">
                  <c:v>1865888</c:v>
                </c:pt>
                <c:pt idx="3">
                  <c:v>1734363</c:v>
                </c:pt>
                <c:pt idx="4">
                  <c:v>1765081</c:v>
                </c:pt>
                <c:pt idx="5">
                  <c:v>1745808</c:v>
                </c:pt>
                <c:pt idx="6">
                  <c:v>1710038</c:v>
                </c:pt>
                <c:pt idx="7">
                  <c:v>1734709</c:v>
                </c:pt>
                <c:pt idx="8">
                  <c:v>1689990</c:v>
                </c:pt>
                <c:pt idx="9">
                  <c:v>1696069</c:v>
                </c:pt>
                <c:pt idx="10">
                  <c:v>1834819</c:v>
                </c:pt>
                <c:pt idx="11">
                  <c:v>1741385</c:v>
                </c:pt>
                <c:pt idx="12">
                  <c:v>1676869</c:v>
                </c:pt>
                <c:pt idx="13">
                  <c:v>1762759</c:v>
                </c:pt>
                <c:pt idx="14">
                  <c:v>1731200</c:v>
                </c:pt>
                <c:pt idx="15">
                  <c:v>1737864</c:v>
                </c:pt>
                <c:pt idx="16">
                  <c:v>1736606</c:v>
                </c:pt>
                <c:pt idx="17">
                  <c:v>1850328</c:v>
                </c:pt>
                <c:pt idx="18">
                  <c:v>1674802</c:v>
                </c:pt>
                <c:pt idx="19">
                  <c:v>1732740</c:v>
                </c:pt>
                <c:pt idx="20">
                  <c:v>1840218</c:v>
                </c:pt>
                <c:pt idx="21">
                  <c:v>1825382</c:v>
                </c:pt>
                <c:pt idx="22">
                  <c:v>1728194</c:v>
                </c:pt>
                <c:pt idx="23">
                  <c:v>1807748</c:v>
                </c:pt>
                <c:pt idx="24">
                  <c:v>1701170</c:v>
                </c:pt>
                <c:pt idx="25">
                  <c:v>1890435</c:v>
                </c:pt>
                <c:pt idx="26">
                  <c:v>1733840</c:v>
                </c:pt>
                <c:pt idx="27">
                  <c:v>1717270</c:v>
                </c:pt>
                <c:pt idx="28">
                  <c:v>1758169</c:v>
                </c:pt>
                <c:pt idx="29">
                  <c:v>1802115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4F-4E93-A131-C53879487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546760"/>
        <c:axId val="1673528328"/>
      </c:lineChart>
      <c:catAx>
        <c:axId val="1673546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528328"/>
        <c:crosses val="autoZero"/>
        <c:auto val="1"/>
        <c:lblAlgn val="ctr"/>
        <c:lblOffset val="100"/>
        <c:noMultiLvlLbl val="0"/>
      </c:catAx>
      <c:valAx>
        <c:axId val="167352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54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Sheet1!$AM$2:$AM$31</c:f>
              <c:numCache>
                <c:formatCode>General</c:formatCode>
                <c:ptCount val="30"/>
                <c:pt idx="0">
                  <c:v>5028849</c:v>
                </c:pt>
                <c:pt idx="1">
                  <c:v>4764221</c:v>
                </c:pt>
                <c:pt idx="2">
                  <c:v>4898656</c:v>
                </c:pt>
                <c:pt idx="3">
                  <c:v>4911058</c:v>
                </c:pt>
                <c:pt idx="4">
                  <c:v>4730836</c:v>
                </c:pt>
                <c:pt idx="5">
                  <c:v>4914917</c:v>
                </c:pt>
                <c:pt idx="6">
                  <c:v>4926528</c:v>
                </c:pt>
                <c:pt idx="7">
                  <c:v>4984455</c:v>
                </c:pt>
                <c:pt idx="8">
                  <c:v>5018973</c:v>
                </c:pt>
                <c:pt idx="9">
                  <c:v>4793127</c:v>
                </c:pt>
                <c:pt idx="10">
                  <c:v>4865209</c:v>
                </c:pt>
                <c:pt idx="11">
                  <c:v>4933866</c:v>
                </c:pt>
                <c:pt idx="12">
                  <c:v>4784012</c:v>
                </c:pt>
                <c:pt idx="13">
                  <c:v>4711607</c:v>
                </c:pt>
                <c:pt idx="14">
                  <c:v>4830861</c:v>
                </c:pt>
                <c:pt idx="15">
                  <c:v>4787510</c:v>
                </c:pt>
                <c:pt idx="16">
                  <c:v>4757963</c:v>
                </c:pt>
                <c:pt idx="17">
                  <c:v>4763161</c:v>
                </c:pt>
                <c:pt idx="18">
                  <c:v>5219243</c:v>
                </c:pt>
                <c:pt idx="19">
                  <c:v>4981490</c:v>
                </c:pt>
                <c:pt idx="20">
                  <c:v>4888602</c:v>
                </c:pt>
                <c:pt idx="21">
                  <c:v>4705633</c:v>
                </c:pt>
                <c:pt idx="22">
                  <c:v>4978608</c:v>
                </c:pt>
                <c:pt idx="23">
                  <c:v>4789950</c:v>
                </c:pt>
                <c:pt idx="24">
                  <c:v>4774067</c:v>
                </c:pt>
                <c:pt idx="25">
                  <c:v>4997139</c:v>
                </c:pt>
                <c:pt idx="26">
                  <c:v>5168593</c:v>
                </c:pt>
                <c:pt idx="27">
                  <c:v>4976343</c:v>
                </c:pt>
                <c:pt idx="28">
                  <c:v>5068657</c:v>
                </c:pt>
                <c:pt idx="29">
                  <c:v>4780230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2-45C4-897B-FF3DED977ED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Sheet1!$AN$2:$AN$31</c:f>
              <c:numCache>
                <c:formatCode>General</c:formatCode>
                <c:ptCount val="30"/>
                <c:pt idx="0">
                  <c:v>3096145</c:v>
                </c:pt>
                <c:pt idx="1">
                  <c:v>2889756</c:v>
                </c:pt>
                <c:pt idx="2">
                  <c:v>2984491</c:v>
                </c:pt>
                <c:pt idx="3">
                  <c:v>2968122</c:v>
                </c:pt>
                <c:pt idx="4">
                  <c:v>3098483</c:v>
                </c:pt>
                <c:pt idx="5">
                  <c:v>2929428</c:v>
                </c:pt>
                <c:pt idx="6">
                  <c:v>2880239</c:v>
                </c:pt>
                <c:pt idx="7">
                  <c:v>2980128</c:v>
                </c:pt>
                <c:pt idx="8">
                  <c:v>2975308</c:v>
                </c:pt>
                <c:pt idx="9">
                  <c:v>2891289</c:v>
                </c:pt>
                <c:pt idx="10">
                  <c:v>2928406</c:v>
                </c:pt>
                <c:pt idx="11">
                  <c:v>3014382</c:v>
                </c:pt>
                <c:pt idx="12">
                  <c:v>2931505</c:v>
                </c:pt>
                <c:pt idx="13">
                  <c:v>3015983</c:v>
                </c:pt>
                <c:pt idx="14">
                  <c:v>2957807</c:v>
                </c:pt>
                <c:pt idx="15">
                  <c:v>2931296</c:v>
                </c:pt>
                <c:pt idx="16">
                  <c:v>2908630</c:v>
                </c:pt>
                <c:pt idx="17">
                  <c:v>2951007</c:v>
                </c:pt>
                <c:pt idx="18">
                  <c:v>2929484</c:v>
                </c:pt>
                <c:pt idx="19">
                  <c:v>2971968</c:v>
                </c:pt>
                <c:pt idx="20">
                  <c:v>2897664</c:v>
                </c:pt>
                <c:pt idx="21">
                  <c:v>3167564</c:v>
                </c:pt>
                <c:pt idx="22">
                  <c:v>2794774</c:v>
                </c:pt>
                <c:pt idx="23">
                  <c:v>2837903</c:v>
                </c:pt>
                <c:pt idx="24">
                  <c:v>2891702</c:v>
                </c:pt>
                <c:pt idx="25">
                  <c:v>3278015</c:v>
                </c:pt>
                <c:pt idx="26">
                  <c:v>2859028</c:v>
                </c:pt>
                <c:pt idx="27">
                  <c:v>2831868</c:v>
                </c:pt>
                <c:pt idx="28">
                  <c:v>2995695</c:v>
                </c:pt>
                <c:pt idx="29">
                  <c:v>2933511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92-45C4-897B-FF3DED977ED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Sheet1!$AO$2:$AO$31</c:f>
              <c:numCache>
                <c:formatCode>General</c:formatCode>
                <c:ptCount val="30"/>
                <c:pt idx="0">
                  <c:v>2350393</c:v>
                </c:pt>
                <c:pt idx="1">
                  <c:v>2481491</c:v>
                </c:pt>
                <c:pt idx="2">
                  <c:v>2489510</c:v>
                </c:pt>
                <c:pt idx="3">
                  <c:v>2542234</c:v>
                </c:pt>
                <c:pt idx="4">
                  <c:v>2643317</c:v>
                </c:pt>
                <c:pt idx="5">
                  <c:v>2480102</c:v>
                </c:pt>
                <c:pt idx="6">
                  <c:v>2537908</c:v>
                </c:pt>
                <c:pt idx="7">
                  <c:v>2511876</c:v>
                </c:pt>
                <c:pt idx="8">
                  <c:v>2469917</c:v>
                </c:pt>
                <c:pt idx="9">
                  <c:v>2753942</c:v>
                </c:pt>
                <c:pt idx="10">
                  <c:v>2590311</c:v>
                </c:pt>
                <c:pt idx="11">
                  <c:v>2575226</c:v>
                </c:pt>
                <c:pt idx="12">
                  <c:v>2570005</c:v>
                </c:pt>
                <c:pt idx="13">
                  <c:v>2487796</c:v>
                </c:pt>
                <c:pt idx="14">
                  <c:v>2469763</c:v>
                </c:pt>
                <c:pt idx="15">
                  <c:v>2450780</c:v>
                </c:pt>
                <c:pt idx="16">
                  <c:v>2436895</c:v>
                </c:pt>
                <c:pt idx="17">
                  <c:v>2439208</c:v>
                </c:pt>
                <c:pt idx="18">
                  <c:v>2429866</c:v>
                </c:pt>
                <c:pt idx="19">
                  <c:v>2575669</c:v>
                </c:pt>
                <c:pt idx="20">
                  <c:v>2875433</c:v>
                </c:pt>
                <c:pt idx="21">
                  <c:v>2683970</c:v>
                </c:pt>
                <c:pt idx="22">
                  <c:v>2520534</c:v>
                </c:pt>
                <c:pt idx="23">
                  <c:v>2801928</c:v>
                </c:pt>
                <c:pt idx="24">
                  <c:v>2605471</c:v>
                </c:pt>
                <c:pt idx="25">
                  <c:v>2533540</c:v>
                </c:pt>
                <c:pt idx="26">
                  <c:v>2583697</c:v>
                </c:pt>
                <c:pt idx="27">
                  <c:v>2611822</c:v>
                </c:pt>
                <c:pt idx="28">
                  <c:v>2605571</c:v>
                </c:pt>
                <c:pt idx="29">
                  <c:v>2640352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92-45C4-897B-FF3DED977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134599"/>
        <c:axId val="337136647"/>
      </c:lineChart>
      <c:catAx>
        <c:axId val="337134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136647"/>
        <c:crosses val="autoZero"/>
        <c:auto val="1"/>
        <c:lblAlgn val="ctr"/>
        <c:lblOffset val="100"/>
        <c:noMultiLvlLbl val="0"/>
      </c:catAx>
      <c:valAx>
        <c:axId val="337136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134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Sheet1!$BA$1:$BA$30</c:f>
              <c:numCache>
                <c:formatCode>General</c:formatCode>
                <c:ptCount val="30"/>
                <c:pt idx="0">
                  <c:v>5418</c:v>
                </c:pt>
                <c:pt idx="1">
                  <c:v>4533</c:v>
                </c:pt>
                <c:pt idx="2">
                  <c:v>4701</c:v>
                </c:pt>
                <c:pt idx="3">
                  <c:v>5174</c:v>
                </c:pt>
                <c:pt idx="4">
                  <c:v>5831</c:v>
                </c:pt>
                <c:pt idx="5">
                  <c:v>3918</c:v>
                </c:pt>
                <c:pt idx="6">
                  <c:v>4361</c:v>
                </c:pt>
                <c:pt idx="7">
                  <c:v>6299</c:v>
                </c:pt>
                <c:pt idx="8">
                  <c:v>4838</c:v>
                </c:pt>
                <c:pt idx="9">
                  <c:v>5872</c:v>
                </c:pt>
                <c:pt idx="10">
                  <c:v>3598</c:v>
                </c:pt>
                <c:pt idx="11">
                  <c:v>3975</c:v>
                </c:pt>
                <c:pt idx="12">
                  <c:v>4926</c:v>
                </c:pt>
                <c:pt idx="13">
                  <c:v>3979</c:v>
                </c:pt>
                <c:pt idx="14">
                  <c:v>5558</c:v>
                </c:pt>
                <c:pt idx="15">
                  <c:v>4552</c:v>
                </c:pt>
                <c:pt idx="16">
                  <c:v>5934</c:v>
                </c:pt>
                <c:pt idx="17">
                  <c:v>5731</c:v>
                </c:pt>
                <c:pt idx="18">
                  <c:v>4458</c:v>
                </c:pt>
                <c:pt idx="19">
                  <c:v>4541</c:v>
                </c:pt>
                <c:pt idx="20">
                  <c:v>6034</c:v>
                </c:pt>
                <c:pt idx="21">
                  <c:v>4413</c:v>
                </c:pt>
                <c:pt idx="22">
                  <c:v>5041</c:v>
                </c:pt>
                <c:pt idx="23">
                  <c:v>4895</c:v>
                </c:pt>
                <c:pt idx="24">
                  <c:v>5008</c:v>
                </c:pt>
                <c:pt idx="25">
                  <c:v>5577</c:v>
                </c:pt>
                <c:pt idx="26">
                  <c:v>4587</c:v>
                </c:pt>
                <c:pt idx="27">
                  <c:v>4932</c:v>
                </c:pt>
                <c:pt idx="28">
                  <c:v>5677</c:v>
                </c:pt>
                <c:pt idx="29">
                  <c:v>3226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A-43E5-BB6C-C92DE270491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Sheet1!$BB$1:$BB$30</c:f>
              <c:numCache>
                <c:formatCode>General</c:formatCode>
                <c:ptCount val="30"/>
                <c:pt idx="0">
                  <c:v>9283</c:v>
                </c:pt>
                <c:pt idx="1">
                  <c:v>4906</c:v>
                </c:pt>
                <c:pt idx="2">
                  <c:v>6768</c:v>
                </c:pt>
                <c:pt idx="3">
                  <c:v>8938</c:v>
                </c:pt>
                <c:pt idx="4">
                  <c:v>9353</c:v>
                </c:pt>
                <c:pt idx="5">
                  <c:v>3867</c:v>
                </c:pt>
                <c:pt idx="6">
                  <c:v>6832</c:v>
                </c:pt>
                <c:pt idx="7">
                  <c:v>3341</c:v>
                </c:pt>
                <c:pt idx="8">
                  <c:v>4514</c:v>
                </c:pt>
                <c:pt idx="9">
                  <c:v>4341</c:v>
                </c:pt>
                <c:pt idx="10">
                  <c:v>7338</c:v>
                </c:pt>
                <c:pt idx="11">
                  <c:v>5967</c:v>
                </c:pt>
                <c:pt idx="12">
                  <c:v>4192</c:v>
                </c:pt>
                <c:pt idx="13">
                  <c:v>4772</c:v>
                </c:pt>
                <c:pt idx="14">
                  <c:v>4241</c:v>
                </c:pt>
                <c:pt idx="15">
                  <c:v>8463</c:v>
                </c:pt>
                <c:pt idx="16">
                  <c:v>4215</c:v>
                </c:pt>
                <c:pt idx="17">
                  <c:v>4645</c:v>
                </c:pt>
                <c:pt idx="18">
                  <c:v>9610</c:v>
                </c:pt>
                <c:pt idx="19">
                  <c:v>4277</c:v>
                </c:pt>
                <c:pt idx="20">
                  <c:v>6208</c:v>
                </c:pt>
                <c:pt idx="21">
                  <c:v>10100</c:v>
                </c:pt>
                <c:pt idx="22">
                  <c:v>5625</c:v>
                </c:pt>
                <c:pt idx="23">
                  <c:v>6890</c:v>
                </c:pt>
                <c:pt idx="24">
                  <c:v>7055</c:v>
                </c:pt>
                <c:pt idx="25">
                  <c:v>6138</c:v>
                </c:pt>
                <c:pt idx="26">
                  <c:v>3692</c:v>
                </c:pt>
                <c:pt idx="27">
                  <c:v>4987</c:v>
                </c:pt>
                <c:pt idx="28">
                  <c:v>6257</c:v>
                </c:pt>
                <c:pt idx="29">
                  <c:v>5079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A-43E5-BB6C-C92DE270491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Sheet1!$BC$1:$BC$30</c:f>
              <c:numCache>
                <c:formatCode>General</c:formatCode>
                <c:ptCount val="30"/>
                <c:pt idx="0">
                  <c:v>8281</c:v>
                </c:pt>
                <c:pt idx="1">
                  <c:v>8000</c:v>
                </c:pt>
                <c:pt idx="2">
                  <c:v>5837</c:v>
                </c:pt>
                <c:pt idx="3">
                  <c:v>6388</c:v>
                </c:pt>
                <c:pt idx="4">
                  <c:v>6406</c:v>
                </c:pt>
                <c:pt idx="5">
                  <c:v>5610</c:v>
                </c:pt>
                <c:pt idx="6">
                  <c:v>6250</c:v>
                </c:pt>
                <c:pt idx="7">
                  <c:v>6504</c:v>
                </c:pt>
                <c:pt idx="8">
                  <c:v>5133</c:v>
                </c:pt>
                <c:pt idx="9">
                  <c:v>4948</c:v>
                </c:pt>
                <c:pt idx="10">
                  <c:v>7635</c:v>
                </c:pt>
                <c:pt idx="11">
                  <c:v>4702</c:v>
                </c:pt>
                <c:pt idx="12">
                  <c:v>4680</c:v>
                </c:pt>
                <c:pt idx="13">
                  <c:v>4536</c:v>
                </c:pt>
                <c:pt idx="14">
                  <c:v>5757</c:v>
                </c:pt>
                <c:pt idx="15">
                  <c:v>4642</c:v>
                </c:pt>
                <c:pt idx="16">
                  <c:v>6007</c:v>
                </c:pt>
                <c:pt idx="17">
                  <c:v>9176</c:v>
                </c:pt>
                <c:pt idx="18">
                  <c:v>4702</c:v>
                </c:pt>
                <c:pt idx="19">
                  <c:v>4560</c:v>
                </c:pt>
                <c:pt idx="20">
                  <c:v>7579</c:v>
                </c:pt>
                <c:pt idx="21">
                  <c:v>10752</c:v>
                </c:pt>
                <c:pt idx="22">
                  <c:v>6708</c:v>
                </c:pt>
                <c:pt idx="23">
                  <c:v>6692</c:v>
                </c:pt>
                <c:pt idx="24">
                  <c:v>6599</c:v>
                </c:pt>
                <c:pt idx="25">
                  <c:v>5773</c:v>
                </c:pt>
                <c:pt idx="26">
                  <c:v>9002</c:v>
                </c:pt>
                <c:pt idx="27">
                  <c:v>4944</c:v>
                </c:pt>
                <c:pt idx="28">
                  <c:v>6885</c:v>
                </c:pt>
                <c:pt idx="29">
                  <c:v>7252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A-43E5-BB6C-C92DE270491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Sheet1!$BD$1:$BD$30</c:f>
              <c:numCache>
                <c:formatCode>General</c:formatCode>
                <c:ptCount val="30"/>
                <c:pt idx="0">
                  <c:v>26710</c:v>
                </c:pt>
                <c:pt idx="1">
                  <c:v>26156</c:v>
                </c:pt>
                <c:pt idx="2">
                  <c:v>28247</c:v>
                </c:pt>
                <c:pt idx="3">
                  <c:v>23928</c:v>
                </c:pt>
                <c:pt idx="4">
                  <c:v>27572</c:v>
                </c:pt>
                <c:pt idx="5">
                  <c:v>25934</c:v>
                </c:pt>
                <c:pt idx="6">
                  <c:v>27607</c:v>
                </c:pt>
                <c:pt idx="7">
                  <c:v>30589</c:v>
                </c:pt>
                <c:pt idx="8">
                  <c:v>24427</c:v>
                </c:pt>
                <c:pt idx="9">
                  <c:v>32049</c:v>
                </c:pt>
                <c:pt idx="10">
                  <c:v>27492</c:v>
                </c:pt>
                <c:pt idx="11">
                  <c:v>24091</c:v>
                </c:pt>
                <c:pt idx="12">
                  <c:v>25173</c:v>
                </c:pt>
                <c:pt idx="13">
                  <c:v>26760</c:v>
                </c:pt>
                <c:pt idx="14">
                  <c:v>26941</c:v>
                </c:pt>
                <c:pt idx="15">
                  <c:v>26577</c:v>
                </c:pt>
                <c:pt idx="16">
                  <c:v>26266</c:v>
                </c:pt>
                <c:pt idx="17">
                  <c:v>27518</c:v>
                </c:pt>
                <c:pt idx="18">
                  <c:v>26460</c:v>
                </c:pt>
                <c:pt idx="19">
                  <c:v>26450</c:v>
                </c:pt>
                <c:pt idx="20">
                  <c:v>26174</c:v>
                </c:pt>
                <c:pt idx="21">
                  <c:v>26679</c:v>
                </c:pt>
                <c:pt idx="22">
                  <c:v>26613</c:v>
                </c:pt>
                <c:pt idx="23">
                  <c:v>27126</c:v>
                </c:pt>
                <c:pt idx="24">
                  <c:v>27028</c:v>
                </c:pt>
                <c:pt idx="25">
                  <c:v>26705</c:v>
                </c:pt>
                <c:pt idx="26">
                  <c:v>27188</c:v>
                </c:pt>
                <c:pt idx="27">
                  <c:v>26564</c:v>
                </c:pt>
                <c:pt idx="28">
                  <c:v>27133</c:v>
                </c:pt>
                <c:pt idx="29">
                  <c:v>33034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6A-43E5-BB6C-C92DE270491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Sheet1!$BE$1:$BE$30</c:f>
              <c:numCache>
                <c:formatCode>General</c:formatCode>
                <c:ptCount val="30"/>
                <c:pt idx="0">
                  <c:v>26953</c:v>
                </c:pt>
                <c:pt idx="1">
                  <c:v>28710</c:v>
                </c:pt>
                <c:pt idx="2">
                  <c:v>27593</c:v>
                </c:pt>
                <c:pt idx="3">
                  <c:v>27255</c:v>
                </c:pt>
                <c:pt idx="4">
                  <c:v>27060</c:v>
                </c:pt>
                <c:pt idx="5">
                  <c:v>32452</c:v>
                </c:pt>
                <c:pt idx="6">
                  <c:v>26586</c:v>
                </c:pt>
                <c:pt idx="7">
                  <c:v>26129</c:v>
                </c:pt>
                <c:pt idx="8">
                  <c:v>27632</c:v>
                </c:pt>
                <c:pt idx="9">
                  <c:v>27872</c:v>
                </c:pt>
                <c:pt idx="10">
                  <c:v>29733</c:v>
                </c:pt>
                <c:pt idx="11">
                  <c:v>32592</c:v>
                </c:pt>
                <c:pt idx="12">
                  <c:v>26857</c:v>
                </c:pt>
                <c:pt idx="13">
                  <c:v>32588</c:v>
                </c:pt>
                <c:pt idx="14">
                  <c:v>31358</c:v>
                </c:pt>
                <c:pt idx="15">
                  <c:v>26971</c:v>
                </c:pt>
                <c:pt idx="16">
                  <c:v>25852</c:v>
                </c:pt>
                <c:pt idx="17">
                  <c:v>29652</c:v>
                </c:pt>
                <c:pt idx="18">
                  <c:v>34961</c:v>
                </c:pt>
                <c:pt idx="19">
                  <c:v>29216</c:v>
                </c:pt>
                <c:pt idx="20">
                  <c:v>27631</c:v>
                </c:pt>
                <c:pt idx="21">
                  <c:v>35936</c:v>
                </c:pt>
                <c:pt idx="22">
                  <c:v>26887</c:v>
                </c:pt>
                <c:pt idx="23">
                  <c:v>35193</c:v>
                </c:pt>
                <c:pt idx="24">
                  <c:v>35313</c:v>
                </c:pt>
                <c:pt idx="25">
                  <c:v>29005</c:v>
                </c:pt>
                <c:pt idx="26">
                  <c:v>29233</c:v>
                </c:pt>
                <c:pt idx="27">
                  <c:v>27986</c:v>
                </c:pt>
                <c:pt idx="28">
                  <c:v>27059</c:v>
                </c:pt>
                <c:pt idx="29">
                  <c:v>31592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6A-43E5-BB6C-C92DE2704915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Sheet1!$BF$1:$BF$30</c:f>
              <c:numCache>
                <c:formatCode>General</c:formatCode>
                <c:ptCount val="30"/>
                <c:pt idx="0">
                  <c:v>16333</c:v>
                </c:pt>
                <c:pt idx="1">
                  <c:v>26799</c:v>
                </c:pt>
                <c:pt idx="2">
                  <c:v>19785</c:v>
                </c:pt>
                <c:pt idx="3">
                  <c:v>12682</c:v>
                </c:pt>
                <c:pt idx="4">
                  <c:v>19380</c:v>
                </c:pt>
                <c:pt idx="5">
                  <c:v>13472</c:v>
                </c:pt>
                <c:pt idx="6">
                  <c:v>20003</c:v>
                </c:pt>
                <c:pt idx="7">
                  <c:v>21273</c:v>
                </c:pt>
                <c:pt idx="8">
                  <c:v>20122</c:v>
                </c:pt>
                <c:pt idx="9">
                  <c:v>15572</c:v>
                </c:pt>
                <c:pt idx="10">
                  <c:v>14992</c:v>
                </c:pt>
                <c:pt idx="11">
                  <c:v>18809</c:v>
                </c:pt>
                <c:pt idx="12">
                  <c:v>18483</c:v>
                </c:pt>
                <c:pt idx="13">
                  <c:v>19998</c:v>
                </c:pt>
                <c:pt idx="14">
                  <c:v>15917</c:v>
                </c:pt>
                <c:pt idx="15">
                  <c:v>17902</c:v>
                </c:pt>
                <c:pt idx="16">
                  <c:v>17432</c:v>
                </c:pt>
                <c:pt idx="17">
                  <c:v>16275</c:v>
                </c:pt>
                <c:pt idx="18">
                  <c:v>15803</c:v>
                </c:pt>
                <c:pt idx="19">
                  <c:v>17969</c:v>
                </c:pt>
                <c:pt idx="20">
                  <c:v>14060</c:v>
                </c:pt>
                <c:pt idx="21">
                  <c:v>14467</c:v>
                </c:pt>
                <c:pt idx="22">
                  <c:v>16877</c:v>
                </c:pt>
                <c:pt idx="23">
                  <c:v>16014</c:v>
                </c:pt>
                <c:pt idx="24">
                  <c:v>19170</c:v>
                </c:pt>
                <c:pt idx="25">
                  <c:v>26046</c:v>
                </c:pt>
                <c:pt idx="26">
                  <c:v>14990</c:v>
                </c:pt>
                <c:pt idx="27">
                  <c:v>15381</c:v>
                </c:pt>
                <c:pt idx="28">
                  <c:v>15108</c:v>
                </c:pt>
                <c:pt idx="29">
                  <c:v>17192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6A-43E5-BB6C-C92DE2704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535624"/>
        <c:axId val="1015541768"/>
      </c:lineChart>
      <c:catAx>
        <c:axId val="1015535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41768"/>
        <c:crosses val="autoZero"/>
        <c:auto val="1"/>
        <c:lblAlgn val="ctr"/>
        <c:lblOffset val="100"/>
        <c:noMultiLvlLbl val="0"/>
      </c:catAx>
      <c:valAx>
        <c:axId val="101554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35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7</xdr:row>
      <xdr:rowOff>19050</xdr:rowOff>
    </xdr:from>
    <xdr:to>
      <xdr:col>11</xdr:col>
      <xdr:colOff>190500</xdr:colOff>
      <xdr:row>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05144B-1C43-0EEF-8236-84DDE7965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161925</xdr:colOff>
      <xdr:row>7</xdr:row>
      <xdr:rowOff>38100</xdr:rowOff>
    </xdr:from>
    <xdr:to>
      <xdr:col>23</xdr:col>
      <xdr:colOff>466725</xdr:colOff>
      <xdr:row>21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F0482E-D9F3-15FD-93D3-906A9855AC9D}"/>
            </a:ext>
            <a:ext uri="{147F2762-F138-4A5C-976F-8EAC2B608ADB}">
              <a16:predDERef xmlns:a16="http://schemas.microsoft.com/office/drawing/2014/main" pred="{9B05144B-1C43-0EEF-8236-84DDE7965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85725</xdr:colOff>
      <xdr:row>6</xdr:row>
      <xdr:rowOff>104775</xdr:rowOff>
    </xdr:from>
    <xdr:to>
      <xdr:col>44</xdr:col>
      <xdr:colOff>390525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FB06A-418E-38D5-5F39-FE49C6755024}"/>
            </a:ext>
            <a:ext uri="{147F2762-F138-4A5C-976F-8EAC2B608ADB}">
              <a16:predDERef xmlns:a16="http://schemas.microsoft.com/office/drawing/2014/main" pred="{B5F0482E-D9F3-15FD-93D3-906A9855A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314325</xdr:colOff>
      <xdr:row>7</xdr:row>
      <xdr:rowOff>142875</xdr:rowOff>
    </xdr:from>
    <xdr:to>
      <xdr:col>57</xdr:col>
      <xdr:colOff>9525</xdr:colOff>
      <xdr:row>22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D8E643-5547-5D91-CE74-359A5C58014A}"/>
            </a:ext>
            <a:ext uri="{147F2762-F138-4A5C-976F-8EAC2B608ADB}">
              <a16:predDERef xmlns:a16="http://schemas.microsoft.com/office/drawing/2014/main" pred="{3C9FB06A-418E-38D5-5F39-FE49C6755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74</xdr:col>
      <xdr:colOff>190500</xdr:colOff>
      <xdr:row>5</xdr:row>
      <xdr:rowOff>123825</xdr:rowOff>
    </xdr:from>
    <xdr:to>
      <xdr:col>81</xdr:col>
      <xdr:colOff>495300</xdr:colOff>
      <xdr:row>20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97A30B-1393-C6A5-7B51-1C8F6A0994DD}"/>
            </a:ext>
            <a:ext uri="{147F2762-F138-4A5C-976F-8EAC2B608ADB}">
              <a16:predDERef xmlns:a16="http://schemas.microsoft.com/office/drawing/2014/main" pred="{EFD8E643-5547-5D91-CE74-359A5C580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1"/>
  <sheetViews>
    <sheetView tabSelected="1" topLeftCell="AT11" workbookViewId="0">
      <selection activeCell="BG35" sqref="BG35"/>
    </sheetView>
  </sheetViews>
  <sheetFormatPr defaultRowHeight="15"/>
  <cols>
    <col min="1" max="1" width="11.7109375" bestFit="1" customWidth="1"/>
    <col min="3" max="3" width="9.85546875" bestFit="1" customWidth="1"/>
    <col min="4" max="4" width="13.140625" customWidth="1"/>
    <col min="8" max="8" width="9.5703125" bestFit="1" customWidth="1"/>
    <col min="52" max="52" width="21.7109375" bestFit="1" customWidth="1"/>
  </cols>
  <sheetData>
    <row r="1" spans="1:58">
      <c r="A1">
        <v>9262649</v>
      </c>
      <c r="B1">
        <v>9156030</v>
      </c>
      <c r="C1">
        <v>3009232</v>
      </c>
      <c r="N1">
        <v>411598</v>
      </c>
      <c r="O1">
        <v>4792464</v>
      </c>
      <c r="P1">
        <v>15175706</v>
      </c>
      <c r="AB1" t="s">
        <v>0</v>
      </c>
      <c r="AC1" t="s">
        <v>1</v>
      </c>
      <c r="AM1" t="s">
        <v>2</v>
      </c>
      <c r="AN1" t="s">
        <v>3</v>
      </c>
      <c r="AO1" t="s">
        <v>4</v>
      </c>
      <c r="BA1">
        <v>5418</v>
      </c>
      <c r="BB1">
        <v>9283</v>
      </c>
      <c r="BC1">
        <v>8281</v>
      </c>
      <c r="BD1">
        <v>26710</v>
      </c>
      <c r="BE1">
        <v>26953</v>
      </c>
      <c r="BF1">
        <v>16333</v>
      </c>
    </row>
    <row r="2" spans="1:58">
      <c r="A2">
        <v>9423696</v>
      </c>
      <c r="B2">
        <v>9087928</v>
      </c>
      <c r="C2">
        <v>2867385</v>
      </c>
      <c r="N2">
        <v>410992</v>
      </c>
      <c r="O2">
        <v>4716509</v>
      </c>
      <c r="P2">
        <v>15440745</v>
      </c>
      <c r="AB2">
        <v>2989073</v>
      </c>
      <c r="AC2">
        <v>1702546</v>
      </c>
      <c r="AM2">
        <v>5028849</v>
      </c>
      <c r="AN2">
        <v>3096145</v>
      </c>
      <c r="AO2">
        <v>2350393</v>
      </c>
      <c r="BA2">
        <v>4533</v>
      </c>
      <c r="BB2">
        <v>4906</v>
      </c>
      <c r="BC2">
        <v>8000</v>
      </c>
      <c r="BD2">
        <v>26156</v>
      </c>
      <c r="BE2">
        <v>28710</v>
      </c>
      <c r="BF2">
        <v>26799</v>
      </c>
    </row>
    <row r="3" spans="1:58">
      <c r="A3">
        <v>9675486</v>
      </c>
      <c r="B3">
        <v>8864150</v>
      </c>
      <c r="C3">
        <v>2987650</v>
      </c>
      <c r="N3">
        <v>473338</v>
      </c>
      <c r="O3">
        <v>4079424</v>
      </c>
      <c r="P3">
        <v>15283547</v>
      </c>
      <c r="AB3">
        <v>2877692</v>
      </c>
      <c r="AC3">
        <v>1695965</v>
      </c>
      <c r="AM3">
        <v>4764221</v>
      </c>
      <c r="AN3">
        <v>2889756</v>
      </c>
      <c r="AO3">
        <v>2481491</v>
      </c>
      <c r="BA3">
        <v>4701</v>
      </c>
      <c r="BB3">
        <v>6768</v>
      </c>
      <c r="BC3">
        <v>5837</v>
      </c>
      <c r="BD3">
        <v>28247</v>
      </c>
      <c r="BE3">
        <v>27593</v>
      </c>
      <c r="BF3">
        <v>19785</v>
      </c>
    </row>
    <row r="4" spans="1:58">
      <c r="A4">
        <v>9292407</v>
      </c>
      <c r="B4">
        <v>8786751</v>
      </c>
      <c r="C4">
        <v>3009824</v>
      </c>
      <c r="N4">
        <v>352522</v>
      </c>
      <c r="O4">
        <v>3838464</v>
      </c>
      <c r="P4">
        <v>16702499</v>
      </c>
      <c r="AB4">
        <v>2820482</v>
      </c>
      <c r="AC4">
        <v>1865888</v>
      </c>
      <c r="AM4">
        <v>4898656</v>
      </c>
      <c r="AN4">
        <v>2984491</v>
      </c>
      <c r="AO4">
        <v>2489510</v>
      </c>
      <c r="BA4">
        <v>5174</v>
      </c>
      <c r="BB4">
        <v>8938</v>
      </c>
      <c r="BC4">
        <v>6388</v>
      </c>
      <c r="BD4">
        <v>23928</v>
      </c>
      <c r="BE4">
        <v>27255</v>
      </c>
      <c r="BF4">
        <v>12682</v>
      </c>
    </row>
    <row r="5" spans="1:58">
      <c r="A5">
        <v>9364996</v>
      </c>
      <c r="B5">
        <v>8728095</v>
      </c>
      <c r="C5">
        <v>2922009</v>
      </c>
      <c r="N5">
        <v>548811</v>
      </c>
      <c r="O5">
        <v>3001236</v>
      </c>
      <c r="P5">
        <v>15005946</v>
      </c>
      <c r="AB5">
        <v>2946934</v>
      </c>
      <c r="AC5">
        <v>1734363</v>
      </c>
      <c r="AM5">
        <v>4911058</v>
      </c>
      <c r="AN5">
        <v>2968122</v>
      </c>
      <c r="AO5">
        <v>2542234</v>
      </c>
      <c r="BA5">
        <v>5831</v>
      </c>
      <c r="BB5">
        <v>9353</v>
      </c>
      <c r="BC5">
        <v>6406</v>
      </c>
      <c r="BD5">
        <v>27572</v>
      </c>
      <c r="BE5">
        <v>27060</v>
      </c>
      <c r="BF5">
        <v>19380</v>
      </c>
    </row>
    <row r="6" spans="1:58">
      <c r="A6">
        <v>9356863</v>
      </c>
      <c r="B6">
        <v>8632001</v>
      </c>
      <c r="C6">
        <v>2939843</v>
      </c>
      <c r="N6">
        <v>631749</v>
      </c>
      <c r="O6">
        <v>2961287</v>
      </c>
      <c r="P6">
        <v>15598865</v>
      </c>
      <c r="AB6">
        <v>2967775</v>
      </c>
      <c r="AC6">
        <v>1765081</v>
      </c>
      <c r="AM6">
        <v>4730836</v>
      </c>
      <c r="AN6">
        <v>3098483</v>
      </c>
      <c r="AO6">
        <v>2643317</v>
      </c>
      <c r="BA6">
        <v>3918</v>
      </c>
      <c r="BB6">
        <v>3867</v>
      </c>
      <c r="BC6">
        <v>5610</v>
      </c>
      <c r="BD6">
        <v>25934</v>
      </c>
      <c r="BE6">
        <v>32452</v>
      </c>
      <c r="BF6">
        <v>13472</v>
      </c>
    </row>
    <row r="7" spans="1:58">
      <c r="A7">
        <v>9250964</v>
      </c>
      <c r="B7">
        <v>9150974</v>
      </c>
      <c r="C7">
        <v>2791095</v>
      </c>
      <c r="N7">
        <v>400006</v>
      </c>
      <c r="O7">
        <v>3017968</v>
      </c>
      <c r="P7">
        <v>16097517</v>
      </c>
      <c r="AB7">
        <v>2891472</v>
      </c>
      <c r="AC7">
        <v>1745808</v>
      </c>
      <c r="AM7">
        <v>4914917</v>
      </c>
      <c r="AN7">
        <v>2929428</v>
      </c>
      <c r="AO7">
        <v>2480102</v>
      </c>
      <c r="BA7">
        <v>4361</v>
      </c>
      <c r="BB7">
        <v>6832</v>
      </c>
      <c r="BC7">
        <v>6250</v>
      </c>
      <c r="BD7">
        <v>27607</v>
      </c>
      <c r="BE7">
        <v>26586</v>
      </c>
      <c r="BF7">
        <v>20003</v>
      </c>
    </row>
    <row r="8" spans="1:58">
      <c r="A8">
        <v>9175740</v>
      </c>
      <c r="B8">
        <v>8744476</v>
      </c>
      <c r="C8">
        <v>3100865</v>
      </c>
      <c r="N8">
        <v>738232</v>
      </c>
      <c r="O8">
        <v>3209383</v>
      </c>
      <c r="P8">
        <v>15863624</v>
      </c>
      <c r="AB8">
        <v>2841002</v>
      </c>
      <c r="AC8">
        <v>1710038</v>
      </c>
      <c r="AM8">
        <v>4926528</v>
      </c>
      <c r="AN8">
        <v>2880239</v>
      </c>
      <c r="AO8">
        <v>2537908</v>
      </c>
      <c r="BA8">
        <v>6299</v>
      </c>
      <c r="BB8">
        <v>3341</v>
      </c>
      <c r="BC8">
        <v>6504</v>
      </c>
      <c r="BD8">
        <v>30589</v>
      </c>
      <c r="BE8">
        <v>26129</v>
      </c>
      <c r="BF8">
        <v>21273</v>
      </c>
    </row>
    <row r="9" spans="1:58">
      <c r="A9">
        <v>9587834</v>
      </c>
      <c r="B9">
        <v>8648919</v>
      </c>
      <c r="C9">
        <v>2924594</v>
      </c>
      <c r="N9">
        <v>543168</v>
      </c>
      <c r="O9">
        <v>3084543</v>
      </c>
      <c r="P9">
        <v>15448898</v>
      </c>
      <c r="AB9">
        <v>3030707</v>
      </c>
      <c r="AC9">
        <v>1734709</v>
      </c>
      <c r="AM9">
        <v>4984455</v>
      </c>
      <c r="AN9">
        <v>2980128</v>
      </c>
      <c r="AO9">
        <v>2511876</v>
      </c>
      <c r="BA9">
        <v>4838</v>
      </c>
      <c r="BB9">
        <v>4514</v>
      </c>
      <c r="BC9">
        <v>5133</v>
      </c>
      <c r="BD9">
        <v>24427</v>
      </c>
      <c r="BE9">
        <v>27632</v>
      </c>
      <c r="BF9">
        <v>20122</v>
      </c>
    </row>
    <row r="10" spans="1:58">
      <c r="A10">
        <v>9974244</v>
      </c>
      <c r="B10">
        <v>8842398</v>
      </c>
      <c r="C10">
        <v>2955257</v>
      </c>
      <c r="N10">
        <v>682566</v>
      </c>
      <c r="O10">
        <v>2859190</v>
      </c>
      <c r="P10">
        <v>15474519</v>
      </c>
      <c r="AB10">
        <v>2898465</v>
      </c>
      <c r="AC10">
        <v>1689990</v>
      </c>
      <c r="AM10">
        <v>5018973</v>
      </c>
      <c r="AN10">
        <v>2975308</v>
      </c>
      <c r="AO10">
        <v>2469917</v>
      </c>
      <c r="BA10">
        <v>5872</v>
      </c>
      <c r="BB10">
        <v>4341</v>
      </c>
      <c r="BC10">
        <v>4948</v>
      </c>
      <c r="BD10">
        <v>32049</v>
      </c>
      <c r="BE10">
        <v>27872</v>
      </c>
      <c r="BF10">
        <v>15572</v>
      </c>
    </row>
    <row r="11" spans="1:58">
      <c r="A11">
        <v>9938464</v>
      </c>
      <c r="B11">
        <v>9050440</v>
      </c>
      <c r="C11">
        <v>2892042</v>
      </c>
      <c r="N11">
        <v>459614</v>
      </c>
      <c r="O11">
        <v>2866196</v>
      </c>
      <c r="P11">
        <v>15821873</v>
      </c>
      <c r="AB11">
        <v>2957758</v>
      </c>
      <c r="AC11">
        <v>1696069</v>
      </c>
      <c r="AM11">
        <v>4793127</v>
      </c>
      <c r="AN11">
        <v>2891289</v>
      </c>
      <c r="AO11">
        <v>2753942</v>
      </c>
      <c r="BA11">
        <v>3598</v>
      </c>
      <c r="BB11">
        <v>7338</v>
      </c>
      <c r="BC11">
        <v>7635</v>
      </c>
      <c r="BD11">
        <v>27492</v>
      </c>
      <c r="BE11">
        <v>29733</v>
      </c>
      <c r="BF11">
        <v>14992</v>
      </c>
    </row>
    <row r="12" spans="1:58">
      <c r="A12">
        <v>9146756</v>
      </c>
      <c r="B12">
        <v>9104366</v>
      </c>
      <c r="C12">
        <v>2961212</v>
      </c>
      <c r="N12">
        <v>436717</v>
      </c>
      <c r="O12">
        <v>2813155</v>
      </c>
      <c r="P12">
        <v>15382432</v>
      </c>
      <c r="AB12">
        <v>2802609</v>
      </c>
      <c r="AC12">
        <v>1834819</v>
      </c>
      <c r="AM12">
        <v>4865209</v>
      </c>
      <c r="AN12">
        <v>2928406</v>
      </c>
      <c r="AO12">
        <v>2590311</v>
      </c>
      <c r="BA12">
        <v>3975</v>
      </c>
      <c r="BB12">
        <v>5967</v>
      </c>
      <c r="BC12">
        <v>4702</v>
      </c>
      <c r="BD12">
        <v>24091</v>
      </c>
      <c r="BE12">
        <v>32592</v>
      </c>
      <c r="BF12">
        <v>18809</v>
      </c>
    </row>
    <row r="13" spans="1:58">
      <c r="A13">
        <v>9596873</v>
      </c>
      <c r="B13">
        <v>9190900</v>
      </c>
      <c r="C13">
        <v>2913143</v>
      </c>
      <c r="N13">
        <v>593516</v>
      </c>
      <c r="O13">
        <v>2893434</v>
      </c>
      <c r="P13">
        <v>15548324</v>
      </c>
      <c r="AB13">
        <v>2884535</v>
      </c>
      <c r="AC13">
        <v>1741385</v>
      </c>
      <c r="AM13">
        <v>4933866</v>
      </c>
      <c r="AN13">
        <v>3014382</v>
      </c>
      <c r="AO13">
        <v>2575226</v>
      </c>
      <c r="BA13">
        <v>4926</v>
      </c>
      <c r="BB13">
        <v>4192</v>
      </c>
      <c r="BC13">
        <v>4680</v>
      </c>
      <c r="BD13">
        <v>25173</v>
      </c>
      <c r="BE13">
        <v>26857</v>
      </c>
      <c r="BF13">
        <v>18483</v>
      </c>
    </row>
    <row r="14" spans="1:58">
      <c r="A14">
        <v>9399034</v>
      </c>
      <c r="B14">
        <v>8767583</v>
      </c>
      <c r="C14">
        <v>2901286</v>
      </c>
      <c r="N14">
        <v>363681</v>
      </c>
      <c r="O14">
        <v>2935105</v>
      </c>
      <c r="P14">
        <v>15724097</v>
      </c>
      <c r="AB14">
        <v>2916146</v>
      </c>
      <c r="AC14">
        <v>1676869</v>
      </c>
      <c r="AM14">
        <v>4784012</v>
      </c>
      <c r="AN14">
        <v>2931505</v>
      </c>
      <c r="AO14">
        <v>2570005</v>
      </c>
      <c r="BA14">
        <v>3979</v>
      </c>
      <c r="BB14">
        <v>4772</v>
      </c>
      <c r="BC14">
        <v>4536</v>
      </c>
      <c r="BD14">
        <v>26760</v>
      </c>
      <c r="BE14">
        <v>32588</v>
      </c>
      <c r="BF14">
        <v>19998</v>
      </c>
    </row>
    <row r="15" spans="1:58">
      <c r="A15">
        <v>8987912</v>
      </c>
      <c r="B15">
        <v>8699372</v>
      </c>
      <c r="C15">
        <v>3026320</v>
      </c>
      <c r="N15">
        <v>491699</v>
      </c>
      <c r="O15">
        <v>3058381</v>
      </c>
      <c r="P15">
        <v>15783540</v>
      </c>
      <c r="AB15">
        <v>3072602</v>
      </c>
      <c r="AC15">
        <v>1762759</v>
      </c>
      <c r="AM15">
        <v>4711607</v>
      </c>
      <c r="AN15">
        <v>3015983</v>
      </c>
      <c r="AO15">
        <v>2487796</v>
      </c>
      <c r="BA15">
        <v>5558</v>
      </c>
      <c r="BB15">
        <v>4241</v>
      </c>
      <c r="BC15">
        <v>5757</v>
      </c>
      <c r="BD15">
        <v>26941</v>
      </c>
      <c r="BE15">
        <v>31358</v>
      </c>
      <c r="BF15">
        <v>15917</v>
      </c>
    </row>
    <row r="16" spans="1:58">
      <c r="A16">
        <v>9511115</v>
      </c>
      <c r="B16">
        <v>8625464</v>
      </c>
      <c r="C16">
        <v>3016140</v>
      </c>
      <c r="N16">
        <v>436331</v>
      </c>
      <c r="O16">
        <v>3090894</v>
      </c>
      <c r="P16">
        <v>15825278</v>
      </c>
      <c r="AB16">
        <v>3015507</v>
      </c>
      <c r="AC16">
        <v>1731200</v>
      </c>
      <c r="AM16">
        <v>4830861</v>
      </c>
      <c r="AN16">
        <v>2957807</v>
      </c>
      <c r="AO16">
        <v>2469763</v>
      </c>
      <c r="BA16">
        <v>4552</v>
      </c>
      <c r="BB16">
        <v>8463</v>
      </c>
      <c r="BC16">
        <v>4642</v>
      </c>
      <c r="BD16">
        <v>26577</v>
      </c>
      <c r="BE16">
        <v>26971</v>
      </c>
      <c r="BF16">
        <v>17902</v>
      </c>
    </row>
    <row r="17" spans="1:58">
      <c r="A17">
        <v>8613352</v>
      </c>
      <c r="B17">
        <v>8687958</v>
      </c>
      <c r="C17">
        <v>2950068</v>
      </c>
      <c r="N17">
        <v>485997</v>
      </c>
      <c r="O17">
        <v>3009433</v>
      </c>
      <c r="P17">
        <v>15310166</v>
      </c>
      <c r="AB17">
        <v>2893169</v>
      </c>
      <c r="AC17">
        <v>1737864</v>
      </c>
      <c r="AM17">
        <v>4787510</v>
      </c>
      <c r="AN17">
        <v>2931296</v>
      </c>
      <c r="AO17">
        <v>2450780</v>
      </c>
      <c r="BA17">
        <v>5934</v>
      </c>
      <c r="BB17">
        <v>4215</v>
      </c>
      <c r="BC17">
        <v>6007</v>
      </c>
      <c r="BD17">
        <v>26266</v>
      </c>
      <c r="BE17">
        <v>25852</v>
      </c>
      <c r="BF17">
        <v>17432</v>
      </c>
    </row>
    <row r="18" spans="1:58">
      <c r="A18">
        <v>8966033</v>
      </c>
      <c r="B18">
        <v>8642099</v>
      </c>
      <c r="C18">
        <v>2867189</v>
      </c>
      <c r="N18">
        <v>744331</v>
      </c>
      <c r="O18">
        <v>2854038</v>
      </c>
      <c r="P18">
        <v>15780069</v>
      </c>
      <c r="AB18">
        <v>2809277</v>
      </c>
      <c r="AC18">
        <v>1736606</v>
      </c>
      <c r="AM18">
        <v>4757963</v>
      </c>
      <c r="AN18">
        <v>2908630</v>
      </c>
      <c r="AO18">
        <v>2436895</v>
      </c>
      <c r="BA18">
        <v>5731</v>
      </c>
      <c r="BB18">
        <v>4645</v>
      </c>
      <c r="BC18">
        <v>9176</v>
      </c>
      <c r="BD18">
        <v>27518</v>
      </c>
      <c r="BE18">
        <v>29652</v>
      </c>
      <c r="BF18">
        <v>16275</v>
      </c>
    </row>
    <row r="19" spans="1:58">
      <c r="A19">
        <v>9506950</v>
      </c>
      <c r="B19">
        <v>9262604</v>
      </c>
      <c r="C19">
        <v>3102118</v>
      </c>
      <c r="N19">
        <v>521179</v>
      </c>
      <c r="O19">
        <v>2895472</v>
      </c>
      <c r="P19">
        <v>15759861</v>
      </c>
      <c r="AB19">
        <v>2990508</v>
      </c>
      <c r="AC19">
        <v>1850328</v>
      </c>
      <c r="AM19">
        <v>4763161</v>
      </c>
      <c r="AN19">
        <v>2951007</v>
      </c>
      <c r="AO19">
        <v>2439208</v>
      </c>
      <c r="BA19">
        <v>4458</v>
      </c>
      <c r="BB19">
        <v>9610</v>
      </c>
      <c r="BC19">
        <v>4702</v>
      </c>
      <c r="BD19">
        <v>26460</v>
      </c>
      <c r="BE19">
        <v>34961</v>
      </c>
      <c r="BF19">
        <v>15803</v>
      </c>
    </row>
    <row r="20" spans="1:58">
      <c r="A20">
        <v>9429456</v>
      </c>
      <c r="B20">
        <v>9310800</v>
      </c>
      <c r="C20">
        <v>3114303</v>
      </c>
      <c r="N20">
        <v>378504</v>
      </c>
      <c r="O20">
        <v>3071139</v>
      </c>
      <c r="P20">
        <v>15812865</v>
      </c>
      <c r="AB20">
        <v>2914972</v>
      </c>
      <c r="AC20">
        <v>1674802</v>
      </c>
      <c r="AM20">
        <v>5219243</v>
      </c>
      <c r="AN20">
        <v>2929484</v>
      </c>
      <c r="AO20">
        <v>2429866</v>
      </c>
      <c r="BA20">
        <v>4541</v>
      </c>
      <c r="BB20">
        <v>4277</v>
      </c>
      <c r="BC20">
        <v>4560</v>
      </c>
      <c r="BD20">
        <v>26450</v>
      </c>
      <c r="BE20">
        <v>29216</v>
      </c>
      <c r="BF20">
        <v>17969</v>
      </c>
    </row>
    <row r="21" spans="1:58">
      <c r="A21">
        <v>9819807</v>
      </c>
      <c r="B21">
        <v>8626674</v>
      </c>
      <c r="C21">
        <v>3046957</v>
      </c>
      <c r="N21">
        <v>499143</v>
      </c>
      <c r="O21">
        <v>2940301</v>
      </c>
      <c r="P21">
        <v>15565435</v>
      </c>
      <c r="AB21">
        <v>2866929</v>
      </c>
      <c r="AC21">
        <v>1732740</v>
      </c>
      <c r="AM21">
        <v>4981490</v>
      </c>
      <c r="AN21">
        <v>2971968</v>
      </c>
      <c r="AO21">
        <v>2575669</v>
      </c>
      <c r="BA21">
        <v>6034</v>
      </c>
      <c r="BB21">
        <v>6208</v>
      </c>
      <c r="BC21">
        <v>7579</v>
      </c>
      <c r="BD21">
        <v>26174</v>
      </c>
      <c r="BE21">
        <v>27631</v>
      </c>
      <c r="BF21">
        <v>14060</v>
      </c>
    </row>
    <row r="22" spans="1:58">
      <c r="A22">
        <v>9072266</v>
      </c>
      <c r="B22">
        <v>8569414</v>
      </c>
      <c r="C22">
        <v>2947247</v>
      </c>
      <c r="N22">
        <v>423765</v>
      </c>
      <c r="O22">
        <v>2939113</v>
      </c>
      <c r="P22">
        <v>15646474</v>
      </c>
      <c r="AB22">
        <v>3007597</v>
      </c>
      <c r="AC22">
        <v>1840218</v>
      </c>
      <c r="AM22">
        <v>4888602</v>
      </c>
      <c r="AN22">
        <v>2897664</v>
      </c>
      <c r="AO22">
        <v>2875433</v>
      </c>
      <c r="BA22">
        <v>4413</v>
      </c>
      <c r="BB22">
        <v>10100</v>
      </c>
      <c r="BC22">
        <v>10752</v>
      </c>
      <c r="BD22">
        <v>26679</v>
      </c>
      <c r="BE22">
        <v>35936</v>
      </c>
      <c r="BF22">
        <v>14467</v>
      </c>
    </row>
    <row r="23" spans="1:58">
      <c r="A23">
        <v>9619207</v>
      </c>
      <c r="B23">
        <v>8998389</v>
      </c>
      <c r="C23">
        <v>2926586</v>
      </c>
      <c r="N23">
        <v>493779</v>
      </c>
      <c r="O23">
        <v>3002889</v>
      </c>
      <c r="P23">
        <v>15652841</v>
      </c>
      <c r="AB23">
        <v>3297440</v>
      </c>
      <c r="AC23">
        <v>1825382</v>
      </c>
      <c r="AM23">
        <v>4705633</v>
      </c>
      <c r="AN23">
        <v>3167564</v>
      </c>
      <c r="AO23">
        <v>2683970</v>
      </c>
      <c r="BA23">
        <v>5041</v>
      </c>
      <c r="BB23">
        <v>5625</v>
      </c>
      <c r="BC23">
        <v>6708</v>
      </c>
      <c r="BD23">
        <v>26613</v>
      </c>
      <c r="BE23">
        <v>26887</v>
      </c>
      <c r="BF23">
        <v>16877</v>
      </c>
    </row>
    <row r="24" spans="1:58">
      <c r="A24">
        <v>9346489</v>
      </c>
      <c r="B24">
        <v>8957369</v>
      </c>
      <c r="C24">
        <v>3316583</v>
      </c>
      <c r="N24">
        <v>365125</v>
      </c>
      <c r="O24">
        <v>3136568</v>
      </c>
      <c r="P24">
        <v>15600244</v>
      </c>
      <c r="AB24">
        <v>2852126</v>
      </c>
      <c r="AC24">
        <v>1728194</v>
      </c>
      <c r="AM24">
        <v>4978608</v>
      </c>
      <c r="AN24">
        <v>2794774</v>
      </c>
      <c r="AO24">
        <v>2520534</v>
      </c>
      <c r="BA24">
        <v>4895</v>
      </c>
      <c r="BB24">
        <v>6890</v>
      </c>
      <c r="BC24">
        <v>6692</v>
      </c>
      <c r="BD24">
        <v>27126</v>
      </c>
      <c r="BE24">
        <v>35193</v>
      </c>
      <c r="BF24">
        <v>16014</v>
      </c>
    </row>
    <row r="25" spans="1:58">
      <c r="A25">
        <v>10013592</v>
      </c>
      <c r="B25">
        <v>9184319</v>
      </c>
      <c r="C25">
        <v>3029008</v>
      </c>
      <c r="N25">
        <v>411339</v>
      </c>
      <c r="O25">
        <v>3078620</v>
      </c>
      <c r="P25">
        <v>15641619</v>
      </c>
      <c r="AB25">
        <v>3096168</v>
      </c>
      <c r="AC25">
        <v>1807748</v>
      </c>
      <c r="AM25">
        <v>4789950</v>
      </c>
      <c r="AN25">
        <v>2837903</v>
      </c>
      <c r="AO25">
        <v>2801928</v>
      </c>
      <c r="BA25">
        <v>5008</v>
      </c>
      <c r="BB25">
        <v>7055</v>
      </c>
      <c r="BC25">
        <v>6599</v>
      </c>
      <c r="BD25">
        <v>27028</v>
      </c>
      <c r="BE25">
        <v>35313</v>
      </c>
      <c r="BF25">
        <v>19170</v>
      </c>
    </row>
    <row r="26" spans="1:58">
      <c r="A26">
        <v>9909762</v>
      </c>
      <c r="B26">
        <v>8659192</v>
      </c>
      <c r="C26">
        <v>3035771</v>
      </c>
      <c r="N26">
        <v>443270</v>
      </c>
      <c r="O26">
        <v>2975557</v>
      </c>
      <c r="P26">
        <v>16211228</v>
      </c>
      <c r="AB26">
        <v>2982856</v>
      </c>
      <c r="AC26">
        <v>1701170</v>
      </c>
      <c r="AM26">
        <v>4774067</v>
      </c>
      <c r="AN26">
        <v>2891702</v>
      </c>
      <c r="AO26">
        <v>2605471</v>
      </c>
      <c r="BA26">
        <v>5577</v>
      </c>
      <c r="BB26">
        <v>6138</v>
      </c>
      <c r="BC26">
        <v>5773</v>
      </c>
      <c r="BD26">
        <v>26705</v>
      </c>
      <c r="BE26">
        <v>29005</v>
      </c>
      <c r="BF26">
        <v>26046</v>
      </c>
    </row>
    <row r="27" spans="1:58">
      <c r="A27">
        <v>9528121</v>
      </c>
      <c r="B27">
        <v>9152551</v>
      </c>
      <c r="C27">
        <v>3219339</v>
      </c>
      <c r="N27">
        <v>370421</v>
      </c>
      <c r="O27">
        <v>2978614</v>
      </c>
      <c r="P27">
        <v>16408616</v>
      </c>
      <c r="AB27">
        <v>2998162</v>
      </c>
      <c r="AC27">
        <v>1890435</v>
      </c>
      <c r="AM27">
        <v>4997139</v>
      </c>
      <c r="AN27">
        <v>3278015</v>
      </c>
      <c r="AO27">
        <v>2533540</v>
      </c>
      <c r="BA27">
        <v>4587</v>
      </c>
      <c r="BB27">
        <v>3692</v>
      </c>
      <c r="BC27">
        <v>9002</v>
      </c>
      <c r="BD27">
        <v>27188</v>
      </c>
      <c r="BE27">
        <v>29233</v>
      </c>
      <c r="BF27">
        <v>14990</v>
      </c>
    </row>
    <row r="28" spans="1:58">
      <c r="A28">
        <v>8622972</v>
      </c>
      <c r="B28">
        <v>8668552</v>
      </c>
      <c r="C28">
        <v>2901696</v>
      </c>
      <c r="N28">
        <v>417999</v>
      </c>
      <c r="O28">
        <v>3014191</v>
      </c>
      <c r="P28">
        <v>16357492</v>
      </c>
      <c r="AB28">
        <v>3143194</v>
      </c>
      <c r="AC28">
        <v>1733840</v>
      </c>
      <c r="AM28">
        <v>5168593</v>
      </c>
      <c r="AN28">
        <v>2859028</v>
      </c>
      <c r="AO28">
        <v>2583697</v>
      </c>
      <c r="BA28">
        <v>4932</v>
      </c>
      <c r="BB28">
        <v>4987</v>
      </c>
      <c r="BC28">
        <v>4944</v>
      </c>
      <c r="BD28">
        <v>26564</v>
      </c>
      <c r="BE28">
        <v>27986</v>
      </c>
      <c r="BF28">
        <v>15381</v>
      </c>
    </row>
    <row r="29" spans="1:58">
      <c r="A29">
        <v>9777411</v>
      </c>
      <c r="B29">
        <v>8679300</v>
      </c>
      <c r="C29">
        <v>2906743</v>
      </c>
      <c r="N29">
        <v>411639</v>
      </c>
      <c r="O29">
        <v>2881957</v>
      </c>
      <c r="P29">
        <v>15512128</v>
      </c>
      <c r="AB29">
        <v>2797962</v>
      </c>
      <c r="AC29">
        <v>1717270</v>
      </c>
      <c r="AM29">
        <v>4976343</v>
      </c>
      <c r="AN29">
        <v>2831868</v>
      </c>
      <c r="AO29">
        <v>2611822</v>
      </c>
      <c r="BA29">
        <v>5677</v>
      </c>
      <c r="BB29">
        <v>6257</v>
      </c>
      <c r="BC29">
        <v>6885</v>
      </c>
      <c r="BD29">
        <v>27133</v>
      </c>
      <c r="BE29">
        <v>27059</v>
      </c>
      <c r="BF29">
        <v>15108</v>
      </c>
    </row>
    <row r="30" spans="1:58">
      <c r="A30">
        <v>9769825</v>
      </c>
      <c r="B30">
        <v>8735924</v>
      </c>
      <c r="C30">
        <v>2978479</v>
      </c>
      <c r="N30">
        <v>371634</v>
      </c>
      <c r="O30">
        <v>2994270</v>
      </c>
      <c r="P30">
        <v>15611676</v>
      </c>
      <c r="AB30">
        <v>2745181</v>
      </c>
      <c r="AC30">
        <v>1758169</v>
      </c>
      <c r="AM30">
        <v>5068657</v>
      </c>
      <c r="AN30">
        <v>2995695</v>
      </c>
      <c r="AO30">
        <v>2605571</v>
      </c>
      <c r="BA30">
        <v>3226</v>
      </c>
      <c r="BB30">
        <v>5079</v>
      </c>
      <c r="BC30">
        <v>7252</v>
      </c>
      <c r="BD30">
        <v>33034</v>
      </c>
      <c r="BE30">
        <v>31592</v>
      </c>
      <c r="BF30">
        <v>17192</v>
      </c>
    </row>
    <row r="31" spans="1:58">
      <c r="A31" s="1">
        <f>AVERAGE(A1:A30)</f>
        <v>9431342.5333333332</v>
      </c>
      <c r="B31" s="1">
        <f>AVERAGE(B1:B30)</f>
        <v>8873833.0666666664</v>
      </c>
      <c r="C31" s="1">
        <f>AVERAGE(C1:C30)</f>
        <v>2985332.8</v>
      </c>
      <c r="N31" s="1">
        <f>AVERAGE(N1:N30)/1000000</f>
        <v>0.4770888333333333</v>
      </c>
      <c r="O31" s="1">
        <f>AVERAGE(O1:O30)/1000000</f>
        <v>3.1663264999999998</v>
      </c>
      <c r="P31" s="1">
        <f>AVERAGE(P1:P30)/1000000</f>
        <v>15.701604133333333</v>
      </c>
      <c r="AB31">
        <v>2857291</v>
      </c>
      <c r="AC31">
        <v>1802115</v>
      </c>
      <c r="AM31">
        <v>4780230</v>
      </c>
      <c r="AN31">
        <v>2933511</v>
      </c>
      <c r="AO31">
        <v>2640352</v>
      </c>
      <c r="AZ31" t="s">
        <v>5</v>
      </c>
      <c r="BA31" s="1">
        <f>AVERAGE(BA1:BA30)/1000000</f>
        <v>4.9195666666666665E-3</v>
      </c>
      <c r="BB31" s="1">
        <f t="shared" ref="BB31:BF31" si="0">AVERAGE(BB1:BB30)/1000000</f>
        <v>6.0631333333333332E-3</v>
      </c>
      <c r="BC31" s="1">
        <f t="shared" si="0"/>
        <v>6.398E-3</v>
      </c>
      <c r="BD31" s="1">
        <f t="shared" si="0"/>
        <v>2.70397E-2</v>
      </c>
      <c r="BE31" s="1">
        <f t="shared" si="0"/>
        <v>2.9461900000000003E-2</v>
      </c>
      <c r="BF31" s="1">
        <f t="shared" si="0"/>
        <v>1.7610199999999999E-2</v>
      </c>
    </row>
    <row r="32" spans="1:58">
      <c r="A32">
        <f>A31/1000000</f>
        <v>9.4313425333333338</v>
      </c>
      <c r="B32">
        <f>B31/1000000</f>
        <v>8.8738330666666663</v>
      </c>
      <c r="C32">
        <f>C31/1000000</f>
        <v>2.9853327999999997</v>
      </c>
      <c r="AB32" s="1">
        <f>AVERAGE(AB2:AB31)/1000000</f>
        <v>2.9388530333333334</v>
      </c>
      <c r="AC32" s="1">
        <f>AVERAGE(AC2:AC31)/1000000</f>
        <v>1.7541456666666668</v>
      </c>
      <c r="AM32" s="1">
        <f>AVERAGE(AM2:AM31)/1000000</f>
        <v>4.8911454666666669</v>
      </c>
      <c r="AN32" s="1">
        <f>AVERAGE(AN2:AN31)/1000000</f>
        <v>2.9573860333333331</v>
      </c>
      <c r="AO32" s="1">
        <f>AVERAGE(AO2:AO31)/1000000</f>
        <v>2.5582842333333335</v>
      </c>
    </row>
    <row r="33" spans="1:58">
      <c r="A33" t="s">
        <v>6</v>
      </c>
      <c r="N33" t="s">
        <v>7</v>
      </c>
      <c r="AB33" t="s">
        <v>8</v>
      </c>
      <c r="AM33" t="s">
        <v>9</v>
      </c>
      <c r="BA33" t="s">
        <v>10</v>
      </c>
    </row>
    <row r="34" spans="1:58">
      <c r="A34" s="2" t="s">
        <v>11</v>
      </c>
      <c r="B34" s="2" t="s">
        <v>12</v>
      </c>
      <c r="C34" s="2" t="s">
        <v>13</v>
      </c>
      <c r="D34" s="2" t="s">
        <v>14</v>
      </c>
      <c r="AZ34" t="s">
        <v>15</v>
      </c>
      <c r="BA34">
        <v>100</v>
      </c>
      <c r="BB34">
        <v>100</v>
      </c>
      <c r="BC34">
        <v>100</v>
      </c>
      <c r="BD34">
        <v>200</v>
      </c>
      <c r="BE34">
        <v>200</v>
      </c>
      <c r="BF34">
        <v>200</v>
      </c>
    </row>
    <row r="35" spans="1:58">
      <c r="A35" s="3" t="s">
        <v>16</v>
      </c>
      <c r="B35" s="3" t="s">
        <v>17</v>
      </c>
      <c r="C35" s="3" t="s">
        <v>18</v>
      </c>
      <c r="D35" s="3" t="s">
        <v>19</v>
      </c>
      <c r="AZ35" t="s">
        <v>20</v>
      </c>
      <c r="BA35">
        <v>1</v>
      </c>
      <c r="BB35">
        <v>2</v>
      </c>
      <c r="BC35">
        <v>3</v>
      </c>
      <c r="BD35">
        <v>1</v>
      </c>
      <c r="BE35">
        <v>2</v>
      </c>
      <c r="BF35">
        <v>3</v>
      </c>
    </row>
    <row r="36" spans="1:58">
      <c r="A36" s="3">
        <v>1</v>
      </c>
      <c r="B36" s="3">
        <v>9.43</v>
      </c>
      <c r="C36">
        <f>A32/A32</f>
        <v>1</v>
      </c>
      <c r="D36">
        <f>1/1</f>
        <v>1</v>
      </c>
    </row>
    <row r="37" spans="1:58">
      <c r="A37" s="3">
        <v>2</v>
      </c>
      <c r="B37" s="3">
        <v>8.8699999999999992</v>
      </c>
      <c r="C37">
        <f>B36/B37</f>
        <v>1.0631341600901918</v>
      </c>
      <c r="D37">
        <f>C37/A37</f>
        <v>0.5315670800450959</v>
      </c>
    </row>
    <row r="38" spans="1:58">
      <c r="A38" s="3">
        <v>3</v>
      </c>
      <c r="B38" s="3">
        <v>2.98</v>
      </c>
      <c r="C38">
        <f>B36/B38</f>
        <v>3.1644295302013421</v>
      </c>
      <c r="D38">
        <f>C38/3</f>
        <v>1.0548098434004474</v>
      </c>
    </row>
    <row r="39" spans="1:58">
      <c r="C39" t="s">
        <v>21</v>
      </c>
    </row>
    <row r="40" spans="1:58">
      <c r="C40" t="s">
        <v>22</v>
      </c>
    </row>
    <row r="41" spans="1:58">
      <c r="C4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2026-03-20T16:41:58Z</dcterms:created>
  <dcterms:modified xsi:type="dcterms:W3CDTF">2026-03-21T02:29:27Z</dcterms:modified>
  <cp:category/>
  <cp:contentStatus/>
</cp:coreProperties>
</file>